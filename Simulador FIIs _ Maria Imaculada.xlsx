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maculadasaqueto/Downloads/"/>
    </mc:Choice>
  </mc:AlternateContent>
  <xr:revisionPtr revIDLastSave="0" documentId="13_ncr:20001_{45616EC1-AC36-B541-B07F-C1115F85E3C6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APP" sheetId="1" r:id="rId1"/>
    <sheet name="Planilha2" sheetId="2" r:id="rId2"/>
  </sheets>
  <definedNames>
    <definedName name="aporte">APP!$G$18</definedName>
    <definedName name="Despesas">APP!$G$12</definedName>
    <definedName name="patrimonio">APP!$G$21</definedName>
    <definedName name="perfil">APP!$C$33</definedName>
    <definedName name="qtd_anos">APP!$G$19</definedName>
    <definedName name="rendimento_carteira">APP!$G$13</definedName>
    <definedName name="salario">APP!$G$11</definedName>
    <definedName name="sugestao_investimento">APP!$G$14</definedName>
    <definedName name="taxa_mensal">APP!$G$20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M11" i="2"/>
  <c r="M10" i="2"/>
  <c r="M9" i="2"/>
  <c r="M6" i="2"/>
  <c r="M5" i="2"/>
  <c r="M4" i="2"/>
  <c r="F42" i="1"/>
  <c r="D42" i="1"/>
  <c r="C42" i="1"/>
  <c r="F41" i="1"/>
  <c r="D41" i="1"/>
  <c r="C41" i="1"/>
  <c r="F40" i="1"/>
  <c r="D40" i="1"/>
  <c r="C40" i="1"/>
  <c r="F39" i="1"/>
  <c r="D39" i="1"/>
  <c r="C39" i="1"/>
  <c r="F38" i="1"/>
  <c r="D38" i="1"/>
  <c r="C38" i="1"/>
  <c r="F37" i="1"/>
  <c r="D37" i="1"/>
  <c r="C37" i="1"/>
  <c r="C34" i="1"/>
  <c r="G30" i="1"/>
  <c r="C30" i="1"/>
  <c r="G29" i="1"/>
  <c r="C29" i="1"/>
  <c r="G28" i="1"/>
  <c r="C28" i="1"/>
  <c r="G27" i="1"/>
  <c r="C27" i="1"/>
  <c r="G26" i="1"/>
  <c r="C26" i="1"/>
  <c r="G15" i="1"/>
  <c r="F43" i="1" l="1"/>
  <c r="G13" i="1"/>
  <c r="G20" i="1" s="1"/>
  <c r="E38" i="1"/>
  <c r="G38" i="1" s="1"/>
  <c r="E42" i="1"/>
  <c r="G42" i="1" s="1"/>
  <c r="E39" i="1"/>
  <c r="G39" i="1" s="1"/>
  <c r="E41" i="1"/>
  <c r="G41" i="1" s="1"/>
  <c r="E40" i="1"/>
  <c r="G40" i="1" s="1"/>
  <c r="D43" i="1"/>
  <c r="E37" i="1"/>
  <c r="G37" i="1" l="1"/>
  <c r="G43" i="1" s="1"/>
  <c r="E43" i="1"/>
  <c r="G21" i="1"/>
  <c r="G22" i="1" s="1"/>
  <c r="D26" i="1"/>
  <c r="F26" i="1" s="1"/>
  <c r="D27" i="1"/>
  <c r="F27" i="1" s="1"/>
  <c r="D28" i="1"/>
  <c r="F28" i="1" s="1"/>
  <c r="D29" i="1"/>
  <c r="F29" i="1" s="1"/>
  <c r="D30" i="1"/>
  <c r="F30" i="1" s="1"/>
</calcChain>
</file>

<file path=xl/sharedStrings.xml><?xml version="1.0" encoding="utf-8"?>
<sst xmlns="http://schemas.openxmlformats.org/spreadsheetml/2006/main" count="170" uniqueCount="85">
  <si>
    <t>SIMULADOR DE INVESTIMENTOS EM FIIs</t>
  </si>
  <si>
    <t>Aportes mensais, patrimônio projetado e renda de dividendos</t>
  </si>
  <si>
    <t>Cenário didático com FIIs reais • referência dos rendimentos: set/out 2026</t>
  </si>
  <si>
    <t>CONFIGURAÇÕES</t>
  </si>
  <si>
    <t>Salário de exemplo</t>
  </si>
  <si>
    <t>Rendimento da carteira (DY mensal ref.)</t>
  </si>
  <si>
    <t>Sugestão de investimento (30%)</t>
  </si>
  <si>
    <t>Perfil selecionado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</si>
  <si>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</si>
  <si>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</si>
  <si>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</si>
  <si>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</si>
  <si>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</si>
  <si>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 estimados?</t>
  </si>
  <si>
    <t>PROJEÇÃO DE CENÁRIOS</t>
  </si>
  <si>
    <t>Prazo (anos)</t>
  </si>
  <si>
    <t>Descrição</t>
  </si>
  <si>
    <t>Patrimônio</t>
  </si>
  <si>
    <t>Dividendos/mês</t>
  </si>
  <si>
    <t>Aportes totais</t>
  </si>
  <si>
    <t>DISTRIBUIÇÃO DO APORTE POR PERFIL</t>
  </si>
  <si>
    <t>PERFIL</t>
  </si>
  <si>
    <t>Moderado</t>
  </si>
  <si>
    <t>VALOR A SER INVESTIDO POR MÊS</t>
  </si>
  <si>
    <t>TIPO DE FII</t>
  </si>
  <si>
    <t>FII REAL
DE REFERÊNCIA</t>
  </si>
  <si>
    <t>PERCENTUAL
SUGERIDO</t>
  </si>
  <si>
    <t>VALOR DO
APORTE</t>
  </si>
  <si>
    <t>DY MENSAL
REF.</t>
  </si>
  <si>
    <t>RENDA/MÊS DO
NOVO APORTE</t>
  </si>
  <si>
    <t>PAPEL</t>
  </si>
  <si>
    <t>TIJOLO</t>
  </si>
  <si>
    <t>HÍBRIDOS</t>
  </si>
  <si>
    <t>FOFs</t>
  </si>
  <si>
    <t>DESENVOLVIMENTO</t>
  </si>
  <si>
    <t>HOTELARIAS</t>
  </si>
  <si>
    <t>TOTAL / CARTEIRA</t>
  </si>
  <si>
    <t>Importante: os FIIs e rendimentos são referências reais de mercado consultadas em 15/10/2026. Rendimentos passados não garantem resultados futuros. Os percentuais por perfil são exemplos didáticos, não recomendação de investimento.</t>
  </si>
  <si>
    <t>PLANILHA DE APOIO — PERFIS, CHAVES COMPOSTAS E FIIs REAIS</t>
  </si>
  <si>
    <t>A coluna CHAVE combina Perfil + Tipo de FII e permite que o PROCV encontre a alocação, o ticker e o DY correspondente.</t>
  </si>
  <si>
    <t>CHAVE</t>
  </si>
  <si>
    <t>%</t>
  </si>
  <si>
    <t>FII REF.</t>
  </si>
  <si>
    <t>DY MENSAL REF.</t>
  </si>
  <si>
    <t>ÚLTIMO REND./COTA</t>
  </si>
  <si>
    <t>COTAÇÃO BASE</t>
  </si>
  <si>
    <t>DATA-BASE</t>
  </si>
  <si>
    <t>FONTE</t>
  </si>
  <si>
    <t>SOMA %</t>
  </si>
  <si>
    <t>Conservador-PAPEL</t>
  </si>
  <si>
    <t>Conservador</t>
  </si>
  <si>
    <t>KNCR11</t>
  </si>
  <si>
    <t>30/09/2026</t>
  </si>
  <si>
    <t>https://statusinvest.com.br/fundos-imobiliarios/kncr11</t>
  </si>
  <si>
    <t>Conservador-TIJOLO</t>
  </si>
  <si>
    <t>HGLG11</t>
  </si>
  <si>
    <t>https://statusinvest.com.br/fundos-imobiliarios/hglg11</t>
  </si>
  <si>
    <t>Conservador-HÍBRIDOS</t>
  </si>
  <si>
    <t>KNRI11</t>
  </si>
  <si>
    <t>https://statusinvest.com.br/fundos-imobiliarios/knri11</t>
  </si>
  <si>
    <t>Agressivo</t>
  </si>
  <si>
    <t>Conservador-FOFs</t>
  </si>
  <si>
    <t>KFOF11</t>
  </si>
  <si>
    <t>https://statusinvest.com.br/fundos-imobiliarios/kfof11</t>
  </si>
  <si>
    <t>Conservador-DESENVOLVIMENTO</t>
  </si>
  <si>
    <t>TGAR11</t>
  </si>
  <si>
    <t>https://statusinvest.com.br/fundos-imobiliarios/tgar11</t>
  </si>
  <si>
    <t>DY PONDERADO</t>
  </si>
  <si>
    <t>Conservador-HOTELARIAS</t>
  </si>
  <si>
    <t>HTMX11</t>
  </si>
  <si>
    <t>https://statusinvest.com.br/fundos-imobiliarios/htmx11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</si>
  <si>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</si>
  <si>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</si>
  <si>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</si>
  <si>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</si>
  <si>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</si>
  <si>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</si>
  <si>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</si>
  <si>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</si>
  <si>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</si>
  <si>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</si>
  <si>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</si>
  <si>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</si>
  <si>
    <t>Nota metodológica: os percentuais dos perfis foram definidos apenas para fins didáticos neste projeto e somam 100% em cada perfil. O DY mensal de referência usa o último rendimento e a cotação-base apresentados nas páginas consultadas. Esses dados mudam ao longo do tempo e não constituem recomendação de compra, venda ou manutenção.</t>
  </si>
  <si>
    <t>Despesas (mês)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</si>
</sst>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%;[Red]\(0.00%\);\-"/>
    <numFmt numFmtId="166" formatCode="0;[Red]\(0\);\-"/>
    <numFmt numFmtId="167" formatCode="0%;[Red]\(0%\);\-"/>
    <numFmt numFmtId="168" formatCode="&quot;R$&quot;\ #,##0.00;[Red]\(&quot;R$&quot;\ #,##0.00\);\-"/>
  </numFmts>
  <fonts count="20">
    <font>
      <sz val="11"/>
      <name val="Carlito"/>
    </font>
    <font>
      <b/>
      <sz val="14"/>
      <color rgb="FFFFFFFF"/>
      <name val="Carlito"/>
    </font>
    <font>
      <sz val="11"/>
      <color rgb="FF1A1A1A"/>
      <name val="Carlito"/>
    </font>
    <font>
      <b/>
      <sz val="11"/>
      <color rgb="FF0000FF"/>
      <name val="Carlito"/>
    </font>
    <font>
      <b/>
      <sz val="11"/>
      <color rgb="FF000000"/>
      <name val="Carlito"/>
    </font>
    <font>
      <i/>
      <sz val="9"/>
      <color rgb="FF4B5563"/>
      <name val="Carlito"/>
    </font>
    <font>
      <b/>
      <sz val="10"/>
      <color rgb="FF0A0A0A"/>
      <name val="Carlito"/>
    </font>
    <font>
      <b/>
      <sz val="11"/>
      <color rgb="FF1A1A1A"/>
      <name val="Carlito"/>
    </font>
    <font>
      <sz val="10"/>
      <color rgb="FF008000"/>
      <name val="Carlito"/>
    </font>
    <font>
      <b/>
      <sz val="11"/>
      <color rgb="FF0A0A0A"/>
      <name val="Carlito"/>
    </font>
    <font>
      <sz val="9"/>
      <color rgb="FF6B4F00"/>
      <name val="Carlito"/>
    </font>
    <font>
      <b/>
      <sz val="15"/>
      <color rgb="FFFFFFFF"/>
      <name val="Carlito"/>
    </font>
    <font>
      <i/>
      <sz val="10"/>
      <color rgb="FF0B3F9D"/>
      <name val="Carlito"/>
    </font>
    <font>
      <b/>
      <sz val="10"/>
      <color rgb="FFFFFFFF"/>
      <name val="Carlito"/>
    </font>
    <font>
      <b/>
      <sz val="11"/>
      <name val="Carlito"/>
    </font>
    <font>
      <sz val="11"/>
      <color rgb="FF00B050"/>
      <name val="Carlito"/>
    </font>
    <font>
      <sz val="12"/>
      <color theme="4"/>
      <name val="Carlito"/>
    </font>
    <font>
      <i/>
      <sz val="10"/>
      <color theme="4"/>
      <name val="Carlito"/>
    </font>
    <font>
      <b/>
      <sz val="18"/>
      <color rgb="FF00B050"/>
      <name val="Carlito"/>
    </font>
    <font>
      <u/>
      <sz val="11"/>
      <color theme="1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0B3F9D"/>
      </patternFill>
    </fill>
    <fill>
      <patternFill patternType="solid">
        <fgColor rgb="FFF4F6F8"/>
      </patternFill>
    </fill>
    <fill>
      <patternFill patternType="solid">
        <fgColor rgb="FFFFF3C4"/>
      </patternFill>
    </fill>
    <fill>
      <patternFill patternType="solid">
        <fgColor rgb="FF9FA6AF"/>
      </patternFill>
    </fill>
    <fill>
      <patternFill patternType="solid">
        <fgColor rgb="FFFFFFFF"/>
      </patternFill>
    </fill>
    <fill>
      <patternFill patternType="solid">
        <fgColor rgb="FFD4D8DE"/>
      </patternFill>
    </fill>
    <fill>
      <patternFill patternType="solid">
        <fgColor rgb="FFFFF8E1"/>
      </patternFill>
    </fill>
    <fill>
      <patternFill patternType="solid">
        <fgColor rgb="FFE8EEF9"/>
      </patternFill>
    </fill>
    <fill>
      <patternFill patternType="solid">
        <fgColor rgb="FFEEF4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3" fillId="5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center" vertical="center" wrapText="1"/>
    </xf>
    <xf numFmtId="0" fontId="7" fillId="4" borderId="0" xfId="0" applyFont="1" applyFill="1"/>
    <xf numFmtId="0" fontId="9" fillId="8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 wrapText="1"/>
    </xf>
    <xf numFmtId="167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4" fillId="6" borderId="0" xfId="0" applyFont="1" applyFill="1" applyAlignment="1">
      <alignment horizontal="center"/>
    </xf>
    <xf numFmtId="168" fontId="9" fillId="8" borderId="0" xfId="0" applyNumberFormat="1" applyFont="1" applyFill="1" applyAlignment="1">
      <alignment vertical="center"/>
    </xf>
    <xf numFmtId="168" fontId="0" fillId="0" borderId="0" xfId="0" applyNumberForma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0" fillId="9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0" fontId="12" fillId="10" borderId="0" xfId="0" applyFont="1" applyFill="1" applyAlignment="1">
      <alignment wrapText="1"/>
    </xf>
    <xf numFmtId="0" fontId="0" fillId="12" borderId="0" xfId="0" applyFill="1"/>
    <xf numFmtId="0" fontId="15" fillId="12" borderId="0" xfId="0" applyFont="1" applyFill="1"/>
    <xf numFmtId="0" fontId="16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168" fontId="4" fillId="14" borderId="0" xfId="0" applyNumberFormat="1" applyFont="1" applyFill="1" applyAlignment="1">
      <alignment horizontal="right" vertical="center"/>
    </xf>
    <xf numFmtId="0" fontId="0" fillId="0" borderId="0" xfId="0" applyFill="1"/>
    <xf numFmtId="0" fontId="6" fillId="6" borderId="1" xfId="0" applyFont="1" applyFill="1" applyBorder="1" applyAlignment="1">
      <alignment horizontal="right" vertical="center" wrapText="1"/>
    </xf>
    <xf numFmtId="167" fontId="9" fillId="8" borderId="0" xfId="0" applyNumberFormat="1" applyFont="1" applyFill="1" applyAlignment="1">
      <alignment horizontal="center" vertical="center"/>
    </xf>
    <xf numFmtId="165" fontId="9" fillId="8" borderId="0" xfId="0" applyNumberFormat="1" applyFont="1" applyFill="1" applyAlignment="1">
      <alignment horizontal="center" vertical="center"/>
    </xf>
    <xf numFmtId="0" fontId="2" fillId="14" borderId="2" xfId="0" applyFont="1" applyFill="1" applyBorder="1" applyAlignment="1">
      <alignment vertical="center"/>
    </xf>
    <xf numFmtId="0" fontId="0" fillId="14" borderId="2" xfId="0" applyFill="1" applyBorder="1"/>
    <xf numFmtId="168" fontId="3" fillId="5" borderId="2" xfId="0" applyNumberFormat="1" applyFont="1" applyFill="1" applyBorder="1" applyAlignment="1">
      <alignment horizontal="right" vertical="center"/>
    </xf>
    <xf numFmtId="0" fontId="2" fillId="14" borderId="3" xfId="0" applyFont="1" applyFill="1" applyBorder="1" applyAlignment="1">
      <alignment vertical="center"/>
    </xf>
    <xf numFmtId="0" fontId="0" fillId="14" borderId="3" xfId="0" applyFill="1" applyBorder="1"/>
    <xf numFmtId="165" fontId="4" fillId="14" borderId="3" xfId="0" applyNumberFormat="1" applyFont="1" applyFill="1" applyBorder="1" applyAlignment="1">
      <alignment horizontal="right" vertical="center"/>
    </xf>
    <xf numFmtId="168" fontId="4" fillId="14" borderId="3" xfId="0" applyNumberFormat="1" applyFont="1" applyFill="1" applyBorder="1" applyAlignment="1">
      <alignment horizontal="right" vertical="center"/>
    </xf>
    <xf numFmtId="0" fontId="2" fillId="14" borderId="4" xfId="0" applyFont="1" applyFill="1" applyBorder="1" applyAlignment="1">
      <alignment vertical="center"/>
    </xf>
    <xf numFmtId="0" fontId="0" fillId="14" borderId="4" xfId="0" applyFill="1" applyBorder="1"/>
    <xf numFmtId="0" fontId="4" fillId="14" borderId="4" xfId="0" applyFont="1" applyFill="1" applyBorder="1" applyAlignment="1">
      <alignment horizontal="right" vertical="center"/>
    </xf>
    <xf numFmtId="0" fontId="5" fillId="14" borderId="2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166" fontId="3" fillId="5" borderId="3" xfId="0" applyNumberFormat="1" applyFont="1" applyFill="1" applyBorder="1" applyAlignment="1">
      <alignment horizontal="right" vertical="center"/>
    </xf>
    <xf numFmtId="0" fontId="5" fillId="14" borderId="4" xfId="0" applyFont="1" applyFill="1" applyBorder="1" applyAlignment="1">
      <alignment vertical="center" wrapText="1"/>
    </xf>
    <xf numFmtId="168" fontId="4" fillId="14" borderId="4" xfId="0" applyNumberFormat="1" applyFont="1" applyFill="1" applyBorder="1" applyAlignment="1">
      <alignment horizontal="right" vertical="center"/>
    </xf>
    <xf numFmtId="0" fontId="2" fillId="14" borderId="2" xfId="0" applyFont="1" applyFill="1" applyBorder="1" applyAlignment="1">
      <alignment horizontal="center" vertical="center"/>
    </xf>
    <xf numFmtId="168" fontId="4" fillId="14" borderId="2" xfId="0" applyNumberFormat="1" applyFont="1" applyFill="1" applyBorder="1" applyAlignment="1">
      <alignment horizontal="right" vertical="center"/>
    </xf>
    <xf numFmtId="168" fontId="4" fillId="14" borderId="2" xfId="0" applyNumberFormat="1" applyFont="1" applyFill="1" applyBorder="1" applyAlignment="1">
      <alignment vertical="center"/>
    </xf>
    <xf numFmtId="0" fontId="2" fillId="14" borderId="3" xfId="0" applyFont="1" applyFill="1" applyBorder="1" applyAlignment="1">
      <alignment horizontal="center" vertical="center"/>
    </xf>
    <xf numFmtId="168" fontId="4" fillId="14" borderId="3" xfId="0" applyNumberFormat="1" applyFont="1" applyFill="1" applyBorder="1" applyAlignment="1">
      <alignment horizontal="right" vertical="center"/>
    </xf>
    <xf numFmtId="168" fontId="4" fillId="14" borderId="3" xfId="0" applyNumberFormat="1" applyFont="1" applyFill="1" applyBorder="1" applyAlignment="1">
      <alignment vertical="center"/>
    </xf>
    <xf numFmtId="0" fontId="2" fillId="14" borderId="4" xfId="0" applyFont="1" applyFill="1" applyBorder="1" applyAlignment="1">
      <alignment horizontal="center" vertical="center"/>
    </xf>
    <xf numFmtId="168" fontId="4" fillId="14" borderId="4" xfId="0" applyNumberFormat="1" applyFont="1" applyFill="1" applyBorder="1" applyAlignment="1">
      <alignment horizontal="right" vertical="center"/>
    </xf>
    <xf numFmtId="168" fontId="4" fillId="14" borderId="4" xfId="0" applyNumberFormat="1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8" fillId="14" borderId="2" xfId="0" applyFont="1" applyFill="1" applyBorder="1" applyAlignment="1">
      <alignment horizontal="center" vertical="center"/>
    </xf>
    <xf numFmtId="167" fontId="8" fillId="14" borderId="2" xfId="0" applyNumberFormat="1" applyFont="1" applyFill="1" applyBorder="1" applyAlignment="1">
      <alignment horizontal="center" vertical="center"/>
    </xf>
    <xf numFmtId="168" fontId="4" fillId="14" borderId="2" xfId="0" applyNumberFormat="1" applyFont="1" applyFill="1" applyBorder="1" applyAlignment="1">
      <alignment horizontal="right" vertical="center"/>
    </xf>
    <xf numFmtId="165" fontId="8" fillId="14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8" fillId="14" borderId="3" xfId="0" applyFont="1" applyFill="1" applyBorder="1" applyAlignment="1">
      <alignment horizontal="center" vertical="center"/>
    </xf>
    <xf numFmtId="167" fontId="8" fillId="14" borderId="3" xfId="0" applyNumberFormat="1" applyFont="1" applyFill="1" applyBorder="1" applyAlignment="1">
      <alignment horizontal="center" vertical="center"/>
    </xf>
    <xf numFmtId="165" fontId="8" fillId="14" borderId="3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8" fillId="14" borderId="4" xfId="0" applyFont="1" applyFill="1" applyBorder="1" applyAlignment="1">
      <alignment horizontal="center" vertical="center"/>
    </xf>
    <xf numFmtId="167" fontId="8" fillId="14" borderId="4" xfId="0" applyNumberFormat="1" applyFont="1" applyFill="1" applyBorder="1" applyAlignment="1">
      <alignment horizontal="center" vertical="center"/>
    </xf>
    <xf numFmtId="165" fontId="8" fillId="14" borderId="4" xfId="0" applyNumberFormat="1" applyFont="1" applyFill="1" applyBorder="1" applyAlignment="1">
      <alignment horizontal="center" vertical="center"/>
    </xf>
    <xf numFmtId="0" fontId="19" fillId="11" borderId="0" xfId="1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EEEEFF"/>
      <color rgb="FFEBEBE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Divisão do aporte por tipo de FII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Alocação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APP!$D$37:$D$42</c:f>
              <c:numCache>
                <c:formatCode>0%;[Red]\(0%\);\-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F-554B-92CF-0CF9DED4659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152400</xdr:rowOff>
    </xdr:from>
    <xdr:ext cx="4381500" cy="2952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152400</xdr:colOff>
      <xdr:row>1</xdr:row>
      <xdr:rowOff>88900</xdr:rowOff>
    </xdr:from>
    <xdr:ext cx="2857500" cy="1409700"/>
    <xdr:pic>
      <xdr:nvPicPr>
        <xdr:cNvPr id="3" name="8444f4ec-cd35-45f4-b646-41b3a9f22d3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355600"/>
          <a:ext cx="2857500" cy="1409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usinvest.com.br/fundos-imobiliarios/hglg11" TargetMode="External"/><Relationship Id="rId13" Type="http://schemas.openxmlformats.org/officeDocument/2006/relationships/hyperlink" Target="https://statusinvest.com.br/fundos-imobiliarios/kncr11" TargetMode="External"/><Relationship Id="rId18" Type="http://schemas.openxmlformats.org/officeDocument/2006/relationships/hyperlink" Target="https://statusinvest.com.br/fundos-imobiliarios/htmx11" TargetMode="External"/><Relationship Id="rId3" Type="http://schemas.openxmlformats.org/officeDocument/2006/relationships/hyperlink" Target="https://statusinvest.com.br/fundos-imobiliarios/knri11" TargetMode="External"/><Relationship Id="rId7" Type="http://schemas.openxmlformats.org/officeDocument/2006/relationships/hyperlink" Target="https://statusinvest.com.br/fundos-imobiliarios/kncr11" TargetMode="External"/><Relationship Id="rId12" Type="http://schemas.openxmlformats.org/officeDocument/2006/relationships/hyperlink" Target="https://statusinvest.com.br/fundos-imobiliarios/htmx11" TargetMode="External"/><Relationship Id="rId17" Type="http://schemas.openxmlformats.org/officeDocument/2006/relationships/hyperlink" Target="https://statusinvest.com.br/fundos-imobiliarios/tgar11" TargetMode="External"/><Relationship Id="rId2" Type="http://schemas.openxmlformats.org/officeDocument/2006/relationships/hyperlink" Target="https://statusinvest.com.br/fundos-imobiliarios/hglg11" TargetMode="External"/><Relationship Id="rId16" Type="http://schemas.openxmlformats.org/officeDocument/2006/relationships/hyperlink" Target="https://statusinvest.com.br/fundos-imobiliarios/kfof11" TargetMode="External"/><Relationship Id="rId1" Type="http://schemas.openxmlformats.org/officeDocument/2006/relationships/hyperlink" Target="https://statusinvest.com.br/fundos-imobiliarios/kncr11" TargetMode="External"/><Relationship Id="rId6" Type="http://schemas.openxmlformats.org/officeDocument/2006/relationships/hyperlink" Target="https://statusinvest.com.br/fundos-imobiliarios/htmx11" TargetMode="External"/><Relationship Id="rId11" Type="http://schemas.openxmlformats.org/officeDocument/2006/relationships/hyperlink" Target="https://statusinvest.com.br/fundos-imobiliarios/tgar11" TargetMode="External"/><Relationship Id="rId5" Type="http://schemas.openxmlformats.org/officeDocument/2006/relationships/hyperlink" Target="https://statusinvest.com.br/fundos-imobiliarios/tgar11" TargetMode="External"/><Relationship Id="rId15" Type="http://schemas.openxmlformats.org/officeDocument/2006/relationships/hyperlink" Target="https://statusinvest.com.br/fundos-imobiliarios/knri11" TargetMode="External"/><Relationship Id="rId10" Type="http://schemas.openxmlformats.org/officeDocument/2006/relationships/hyperlink" Target="https://statusinvest.com.br/fundos-imobiliarios/kfof11" TargetMode="External"/><Relationship Id="rId4" Type="http://schemas.openxmlformats.org/officeDocument/2006/relationships/hyperlink" Target="https://statusinvest.com.br/fundos-imobiliarios/kfof11" TargetMode="External"/><Relationship Id="rId9" Type="http://schemas.openxmlformats.org/officeDocument/2006/relationships/hyperlink" Target="https://statusinvest.com.br/fundos-imobiliarios/knri11" TargetMode="External"/><Relationship Id="rId14" Type="http://schemas.openxmlformats.org/officeDocument/2006/relationships/hyperlink" Target="https://statusinvest.com.br/fundos-imobiliarios/hglg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6"/>
  <sheetViews>
    <sheetView showGridLines="0" tabSelected="1" workbookViewId="0">
      <selection activeCell="C15" sqref="C15"/>
    </sheetView>
  </sheetViews>
  <sheetFormatPr baseColWidth="10" defaultColWidth="0" defaultRowHeight="14"/>
  <cols>
    <col min="1" max="1" width="3" customWidth="1"/>
    <col min="2" max="2" width="32.83203125" customWidth="1"/>
    <col min="3" max="4" width="18" customWidth="1"/>
    <col min="5" max="5" width="19" customWidth="1"/>
    <col min="6" max="6" width="16" customWidth="1"/>
    <col min="7" max="7" width="18" customWidth="1"/>
    <col min="8" max="8" width="3" hidden="1" customWidth="1"/>
    <col min="9" max="14" width="16" hidden="1" customWidth="1"/>
    <col min="15" max="21" width="0" hidden="1" customWidth="1"/>
    <col min="23" max="16383" width="8.83203125" hidden="1"/>
    <col min="16384" max="16384" width="2.5" hidden="1" customWidth="1"/>
  </cols>
  <sheetData>
    <row r="1" spans="1:22" ht="21" customHeight="1">
      <c r="A1" s="25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22" ht="21" customHeight="1">
      <c r="A2" s="25"/>
      <c r="B2" s="18"/>
      <c r="C2" s="18"/>
      <c r="D2" s="22" t="s">
        <v>0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22" ht="21" customHeight="1">
      <c r="A3" s="25"/>
      <c r="B3" s="18"/>
      <c r="C3" s="18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22" ht="21" customHeight="1">
      <c r="A4" s="25"/>
      <c r="B4" s="18"/>
      <c r="C4" s="18"/>
      <c r="D4" s="20" t="s">
        <v>1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22" ht="21" customHeight="1">
      <c r="A5" s="25"/>
      <c r="B5" s="18"/>
      <c r="C5" s="18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22" ht="21" customHeight="1">
      <c r="A6" s="25"/>
      <c r="B6" s="18"/>
      <c r="C6" s="18"/>
      <c r="D6" s="21" t="s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22" ht="21" customHeight="1">
      <c r="A7" s="25"/>
      <c r="B7" s="18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22" ht="21" customHeight="1">
      <c r="A8" s="2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22">
      <c r="A9" s="25"/>
    </row>
    <row r="10" spans="1:22" ht="24" customHeight="1">
      <c r="B10" s="23" t="s">
        <v>3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22" customFormat="1" ht="15">
      <c r="B11" s="29" t="s">
        <v>4</v>
      </c>
      <c r="C11" s="29"/>
      <c r="D11" s="30"/>
      <c r="E11" s="30"/>
      <c r="F11" s="30"/>
      <c r="G11" s="31">
        <v>3100</v>
      </c>
    </row>
    <row r="12" spans="1:22" customFormat="1" ht="15">
      <c r="B12" s="29" t="s">
        <v>84</v>
      </c>
      <c r="C12" s="29"/>
      <c r="D12" s="30"/>
      <c r="E12" s="30"/>
      <c r="F12" s="30"/>
      <c r="G12" s="31">
        <f>salario*0.5</f>
        <v>1550</v>
      </c>
    </row>
    <row r="13" spans="1:22" customFormat="1" ht="15">
      <c r="B13" s="32" t="s">
        <v>5</v>
      </c>
      <c r="C13" s="32"/>
      <c r="D13" s="33"/>
      <c r="E13" s="33"/>
      <c r="F13" s="33"/>
      <c r="G13" s="34">
        <f>SUMPRODUCT($D$37:$D$42,$F$37:$F$42)</f>
        <v>9.3153999999999997E-3</v>
      </c>
    </row>
    <row r="14" spans="1:22" customFormat="1" ht="15">
      <c r="B14" s="32" t="s">
        <v>6</v>
      </c>
      <c r="C14" s="32"/>
      <c r="D14" s="33"/>
      <c r="E14" s="33"/>
      <c r="F14" s="33"/>
      <c r="G14" s="35">
        <f>(salario-Despesas)*0.3</f>
        <v>465</v>
      </c>
    </row>
    <row r="15" spans="1:22" customFormat="1" ht="15">
      <c r="B15" s="36" t="s">
        <v>7</v>
      </c>
      <c r="C15" s="36"/>
      <c r="D15" s="37"/>
      <c r="E15" s="37"/>
      <c r="F15" s="37"/>
      <c r="G15" s="38" t="str">
        <f>perfil</f>
        <v>Moderado</v>
      </c>
    </row>
    <row r="16" spans="1:22" customFormat="1">
      <c r="V16" s="25"/>
    </row>
    <row r="17" spans="2:11" customFormat="1" ht="24" customHeight="1">
      <c r="B17" s="14" t="s">
        <v>8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2:11" customFormat="1" ht="15">
      <c r="B18" s="29" t="s">
        <v>9</v>
      </c>
      <c r="C18" s="29"/>
      <c r="D18" s="30"/>
      <c r="E18" s="39"/>
      <c r="F18" s="39"/>
      <c r="G18" s="31">
        <v>775</v>
      </c>
    </row>
    <row r="19" spans="2:11" customFormat="1" ht="15">
      <c r="B19" s="32" t="s">
        <v>10</v>
      </c>
      <c r="C19" s="32"/>
      <c r="D19" s="33"/>
      <c r="E19" s="40"/>
      <c r="F19" s="40"/>
      <c r="G19" s="41">
        <v>10</v>
      </c>
    </row>
    <row r="20" spans="2:11" customFormat="1" ht="15">
      <c r="B20" s="32" t="s">
        <v>11</v>
      </c>
      <c r="C20" s="32"/>
      <c r="D20" s="33"/>
      <c r="E20" s="40"/>
      <c r="F20" s="40"/>
      <c r="G20" s="34">
        <f>rendimento_carteira</f>
        <v>9.3153999999999997E-3</v>
      </c>
    </row>
    <row r="21" spans="2:11" customFormat="1" ht="15">
      <c r="B21" s="32" t="s">
        <v>12</v>
      </c>
      <c r="C21" s="32"/>
      <c r="D21" s="33"/>
      <c r="E21" s="40"/>
      <c r="F21" s="40"/>
      <c r="G21" s="35">
        <f>FV(taxa_mensal,qtd_anos*12,aporte*-1)</f>
        <v>169925.42098773795</v>
      </c>
    </row>
    <row r="22" spans="2:11" customFormat="1" ht="15">
      <c r="B22" s="36" t="s">
        <v>13</v>
      </c>
      <c r="C22" s="36"/>
      <c r="D22" s="37"/>
      <c r="E22" s="42"/>
      <c r="F22" s="42"/>
      <c r="G22" s="43">
        <f>patrimonio*rendimento_carteira</f>
        <v>1582.9232666691739</v>
      </c>
    </row>
    <row r="24" spans="2:11" customFormat="1" ht="24" customHeight="1">
      <c r="B24" s="14" t="s">
        <v>14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2:11" customFormat="1">
      <c r="B25" s="2" t="s">
        <v>15</v>
      </c>
      <c r="C25" s="2" t="s">
        <v>16</v>
      </c>
      <c r="D25" s="26" t="s">
        <v>17</v>
      </c>
      <c r="E25" s="26"/>
      <c r="F25" s="2" t="s">
        <v>18</v>
      </c>
      <c r="G25" s="2" t="s">
        <v>19</v>
      </c>
    </row>
    <row r="26" spans="2:11" customFormat="1" ht="15">
      <c r="B26" s="44">
        <v>2</v>
      </c>
      <c r="C26" s="44" t="str">
        <f>"Em "&amp;B26&amp;" anos"</f>
        <v>Em 2 anos</v>
      </c>
      <c r="D26" s="45">
        <f>FV(taxa_mensal,$B26*12,aporte*-1)</f>
        <v>20735.594462161982</v>
      </c>
      <c r="E26" s="45"/>
      <c r="F26" s="46">
        <f>D26*rendimento_carteira</f>
        <v>193.16035665282371</v>
      </c>
      <c r="G26" s="46">
        <f>aporte*$B26*12</f>
        <v>18600</v>
      </c>
    </row>
    <row r="27" spans="2:11" customFormat="1" ht="15">
      <c r="B27" s="47">
        <v>5</v>
      </c>
      <c r="C27" s="47" t="str">
        <f>"Em "&amp;B27&amp;" anos"</f>
        <v>Em 5 anos</v>
      </c>
      <c r="D27" s="48">
        <f>FV(taxa_mensal,$B27*12,aporte*-1)</f>
        <v>61920.056522350038</v>
      </c>
      <c r="E27" s="48"/>
      <c r="F27" s="49">
        <f>D27*rendimento_carteira</f>
        <v>576.81009452829949</v>
      </c>
      <c r="G27" s="49">
        <f>aporte*$B27*12</f>
        <v>46500</v>
      </c>
    </row>
    <row r="28" spans="2:11" customFormat="1" ht="15">
      <c r="B28" s="47">
        <v>10</v>
      </c>
      <c r="C28" s="47" t="str">
        <f>"Em "&amp;B28&amp;" anos"</f>
        <v>Em 10 anos</v>
      </c>
      <c r="D28" s="48">
        <f>FV(taxa_mensal,$B28*12,aporte*-1)</f>
        <v>169925.42098773795</v>
      </c>
      <c r="E28" s="48"/>
      <c r="F28" s="49">
        <f>D28*rendimento_carteira</f>
        <v>1582.9232666691739</v>
      </c>
      <c r="G28" s="49">
        <f>aporte*$B28*12</f>
        <v>93000</v>
      </c>
    </row>
    <row r="29" spans="2:11" customFormat="1" ht="15">
      <c r="B29" s="47">
        <v>20</v>
      </c>
      <c r="C29" s="47" t="str">
        <f>"Em "&amp;B29&amp;" anos"</f>
        <v>Em 20 anos</v>
      </c>
      <c r="D29" s="48">
        <f>FV(taxa_mensal,$B29*12,aporte*-1)</f>
        <v>686920.39356263063</v>
      </c>
      <c r="E29" s="48"/>
      <c r="F29" s="49">
        <f>D29*rendimento_carteira</f>
        <v>6398.9382341933297</v>
      </c>
      <c r="G29" s="49">
        <f>aporte*$B29*12</f>
        <v>186000</v>
      </c>
    </row>
    <row r="30" spans="2:11" customFormat="1" ht="15">
      <c r="B30" s="50">
        <v>30</v>
      </c>
      <c r="C30" s="50" t="str">
        <f>"Em "&amp;B30&amp;" anos"</f>
        <v>Em 30 anos</v>
      </c>
      <c r="D30" s="51">
        <f>FV(taxa_mensal,$B30*12,aporte*-1)</f>
        <v>2259868.1027049925</v>
      </c>
      <c r="E30" s="51"/>
      <c r="F30" s="52">
        <f>D30*rendimento_carteira</f>
        <v>21051.575323938087</v>
      </c>
      <c r="G30" s="52">
        <f>aporte*$B30*12</f>
        <v>279000</v>
      </c>
    </row>
    <row r="32" spans="2:11" customFormat="1" ht="24" customHeight="1">
      <c r="B32" s="23" t="s">
        <v>20</v>
      </c>
      <c r="C32" s="23"/>
      <c r="D32" s="23"/>
      <c r="E32" s="23"/>
      <c r="F32" s="23"/>
      <c r="G32" s="23"/>
    </row>
    <row r="33" spans="2:7" customFormat="1" ht="15">
      <c r="B33" s="3" t="s">
        <v>21</v>
      </c>
      <c r="C33" s="1" t="s">
        <v>22</v>
      </c>
    </row>
    <row r="34" spans="2:7" customFormat="1" ht="15">
      <c r="B34" s="3" t="s">
        <v>23</v>
      </c>
      <c r="C34" s="24">
        <f>aporte</f>
        <v>775</v>
      </c>
    </row>
    <row r="36" spans="2:7" customFormat="1" ht="38" customHeight="1">
      <c r="B36" s="2" t="s">
        <v>24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29</v>
      </c>
    </row>
    <row r="37" spans="2:7" customFormat="1" ht="15">
      <c r="B37" s="53" t="s">
        <v>30</v>
      </c>
      <c r="C37" s="54" t="str">
        <f>VLOOKUP($C$33&amp;"-"&amp;$B37,Planilha2!$A$4:$J$21,5,FALSE)</f>
        <v>KNCR11</v>
      </c>
      <c r="D37" s="55">
        <f>VLOOKUP($C$33&amp;"-"&amp;$B37,Planilha2!$A$4:$J$21,4,FALSE)</f>
        <v>0.3</v>
      </c>
      <c r="E37" s="56">
        <f t="shared" ref="E37:E42" si="0">D37*$C$34</f>
        <v>232.5</v>
      </c>
      <c r="F37" s="57">
        <f>VLOOKUP($C$33&amp;"-"&amp;$B37,Planilha2!$A$4:$J$21,6,FALSE)</f>
        <v>1.0619999999999999E-2</v>
      </c>
      <c r="G37" s="56">
        <f t="shared" ref="G37:G42" si="1">E37*F37</f>
        <v>2.46915</v>
      </c>
    </row>
    <row r="38" spans="2:7" customFormat="1" ht="15">
      <c r="B38" s="58" t="s">
        <v>31</v>
      </c>
      <c r="C38" s="59" t="str">
        <f>VLOOKUP($C$33&amp;"-"&amp;$B38,Planilha2!$A$4:$J$21,5,FALSE)</f>
        <v>HGLG11</v>
      </c>
      <c r="D38" s="60">
        <f>VLOOKUP($C$33&amp;"-"&amp;$B38,Planilha2!$A$4:$J$21,4,FALSE)</f>
        <v>0.3</v>
      </c>
      <c r="E38" s="35">
        <f t="shared" si="0"/>
        <v>232.5</v>
      </c>
      <c r="F38" s="61">
        <f>VLOOKUP($C$33&amp;"-"&amp;$B38,Planilha2!$A$4:$J$21,6,FALSE)</f>
        <v>7.9080000000000001E-3</v>
      </c>
      <c r="G38" s="35">
        <f t="shared" si="1"/>
        <v>1.8386100000000001</v>
      </c>
    </row>
    <row r="39" spans="2:7" customFormat="1" ht="15">
      <c r="B39" s="58" t="s">
        <v>32</v>
      </c>
      <c r="C39" s="59" t="str">
        <f>VLOOKUP($C$33&amp;"-"&amp;$B39,Planilha2!$A$4:$J$21,5,FALSE)</f>
        <v>KNRI11</v>
      </c>
      <c r="D39" s="60">
        <f>VLOOKUP($C$33&amp;"-"&amp;$B39,Planilha2!$A$4:$J$21,4,FALSE)</f>
        <v>0.15</v>
      </c>
      <c r="E39" s="35">
        <f t="shared" si="0"/>
        <v>116.25</v>
      </c>
      <c r="F39" s="61">
        <f>VLOOKUP($C$33&amp;"-"&amp;$B39,Planilha2!$A$4:$J$21,6,FALSE)</f>
        <v>7.0060000000000001E-3</v>
      </c>
      <c r="G39" s="35">
        <f t="shared" si="1"/>
        <v>0.81444749999999999</v>
      </c>
    </row>
    <row r="40" spans="2:7" customFormat="1" ht="15">
      <c r="B40" s="58" t="s">
        <v>33</v>
      </c>
      <c r="C40" s="59" t="str">
        <f>VLOOKUP($C$33&amp;"-"&amp;$B40,Planilha2!$A$4:$J$21,5,FALSE)</f>
        <v>KFOF11</v>
      </c>
      <c r="D40" s="60">
        <f>VLOOKUP($C$33&amp;"-"&amp;$B40,Planilha2!$A$4:$J$21,4,FALSE)</f>
        <v>0.1</v>
      </c>
      <c r="E40" s="35">
        <f t="shared" si="0"/>
        <v>77.5</v>
      </c>
      <c r="F40" s="61">
        <f>VLOOKUP($C$33&amp;"-"&amp;$B40,Planilha2!$A$4:$J$21,6,FALSE)</f>
        <v>1.026E-2</v>
      </c>
      <c r="G40" s="35">
        <f t="shared" si="1"/>
        <v>0.79515000000000002</v>
      </c>
    </row>
    <row r="41" spans="2:7" customFormat="1" ht="15">
      <c r="B41" s="58" t="s">
        <v>34</v>
      </c>
      <c r="C41" s="59" t="str">
        <f>VLOOKUP($C$33&amp;"-"&amp;$B41,Planilha2!$A$4:$J$21,5,FALSE)</f>
        <v>TGAR11</v>
      </c>
      <c r="D41" s="60">
        <f>VLOOKUP($C$33&amp;"-"&amp;$B41,Planilha2!$A$4:$J$21,4,FALSE)</f>
        <v>0.05</v>
      </c>
      <c r="E41" s="35">
        <f t="shared" si="0"/>
        <v>38.75</v>
      </c>
      <c r="F41" s="61">
        <f>VLOOKUP($C$33&amp;"-"&amp;$B41,Planilha2!$A$4:$J$21,6,FALSE)</f>
        <v>1.6018000000000001E-2</v>
      </c>
      <c r="G41" s="35">
        <f t="shared" si="1"/>
        <v>0.62069750000000001</v>
      </c>
    </row>
    <row r="42" spans="2:7" customFormat="1" ht="15">
      <c r="B42" s="62" t="s">
        <v>35</v>
      </c>
      <c r="C42" s="63" t="str">
        <f>VLOOKUP($C$33&amp;"-"&amp;$B42,Planilha2!$A$4:$J$21,5,FALSE)</f>
        <v>HTMX11</v>
      </c>
      <c r="D42" s="64">
        <f>VLOOKUP($C$33&amp;"-"&amp;$B42,Planilha2!$A$4:$J$21,4,FALSE)</f>
        <v>0.1</v>
      </c>
      <c r="E42" s="43">
        <f t="shared" si="0"/>
        <v>77.5</v>
      </c>
      <c r="F42" s="65">
        <f>VLOOKUP($C$33&amp;"-"&amp;$B42,Planilha2!$A$4:$J$21,6,FALSE)</f>
        <v>8.7919999999999995E-3</v>
      </c>
      <c r="G42" s="43">
        <f t="shared" si="1"/>
        <v>0.68137999999999999</v>
      </c>
    </row>
    <row r="43" spans="2:7" customFormat="1" ht="15">
      <c r="B43" s="4" t="s">
        <v>36</v>
      </c>
      <c r="C43" s="4"/>
      <c r="D43" s="27">
        <f>SUM(D37:D42)</f>
        <v>1</v>
      </c>
      <c r="E43" s="12">
        <f>SUM(E37:E42)</f>
        <v>775</v>
      </c>
      <c r="F43" s="28">
        <f>SUMPRODUCT(D37:D42,F37:F42)</f>
        <v>9.3153999999999997E-3</v>
      </c>
      <c r="G43" s="12">
        <f>SUM(G37:G42)</f>
        <v>7.2194349999999998</v>
      </c>
    </row>
    <row r="45" spans="2:7" customFormat="1">
      <c r="B45" s="15" t="s">
        <v>37</v>
      </c>
      <c r="C45" s="15"/>
      <c r="D45" s="15"/>
      <c r="E45" s="15"/>
      <c r="F45" s="15"/>
      <c r="G45" s="15"/>
    </row>
    <row r="46" spans="2:7" customFormat="1">
      <c r="B46" s="15"/>
      <c r="C46" s="15"/>
      <c r="D46" s="15"/>
      <c r="E46" s="15"/>
      <c r="F46" s="15"/>
      <c r="G46" s="15"/>
    </row>
  </sheetData>
  <mergeCells count="17">
    <mergeCell ref="B24:F24"/>
    <mergeCell ref="B32:G32"/>
    <mergeCell ref="B45:G46"/>
    <mergeCell ref="G10:K10"/>
    <mergeCell ref="G17:K17"/>
    <mergeCell ref="D25:E25"/>
    <mergeCell ref="D26:E26"/>
    <mergeCell ref="D27:E27"/>
    <mergeCell ref="D28:E28"/>
    <mergeCell ref="D29:E29"/>
    <mergeCell ref="D30:E30"/>
    <mergeCell ref="G24:K24"/>
    <mergeCell ref="D2:N3"/>
    <mergeCell ref="D4:N5"/>
    <mergeCell ref="D6:N6"/>
    <mergeCell ref="B10:F10"/>
    <mergeCell ref="B17:F17"/>
  </mergeCells>
  <dataValidations count="1">
    <dataValidation type="list" sqref="C33" xr:uid="{00000000-0002-0000-0000-000000000000}">
      <formula1>"Conservador,Moderado,Agressivo"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showGridLines="0" workbookViewId="0">
      <pane ySplit="3" topLeftCell="A4" activePane="bottomLeft" state="frozen"/>
      <selection pane="bottomLeft" activeCell="M16" sqref="M16"/>
    </sheetView>
  </sheetViews>
  <sheetFormatPr baseColWidth="10" defaultColWidth="8.83203125" defaultRowHeight="14"/>
  <cols>
    <col min="1" max="1" width="30" customWidth="1"/>
    <col min="2" max="2" width="14" customWidth="1"/>
    <col min="3" max="3" width="20" customWidth="1"/>
    <col min="4" max="4" width="10" customWidth="1"/>
    <col min="5" max="5" width="12" customWidth="1"/>
    <col min="6" max="6" width="15" customWidth="1"/>
    <col min="7" max="7" width="17" customWidth="1"/>
    <col min="8" max="8" width="16" customWidth="1"/>
    <col min="9" max="9" width="14" customWidth="1"/>
    <col min="10" max="10" width="50" customWidth="1"/>
    <col min="11" max="11" width="3" customWidth="1"/>
    <col min="12" max="12" width="16" customWidth="1"/>
    <col min="13" max="13" width="16.33203125" bestFit="1" customWidth="1"/>
  </cols>
  <sheetData>
    <row r="1" spans="1:13" ht="26" customHeight="1">
      <c r="A1" s="16" t="s">
        <v>38</v>
      </c>
      <c r="B1" s="16"/>
      <c r="C1" s="16"/>
      <c r="D1" s="16"/>
      <c r="E1" s="16"/>
      <c r="F1" s="16"/>
      <c r="G1" s="16"/>
      <c r="H1" s="16"/>
      <c r="I1" s="16"/>
      <c r="J1" s="16"/>
    </row>
    <row r="2" spans="1:13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</row>
    <row r="3" spans="1:13" ht="34" customHeight="1">
      <c r="A3" s="5" t="s">
        <v>40</v>
      </c>
      <c r="B3" s="5" t="s">
        <v>21</v>
      </c>
      <c r="C3" s="5" t="s">
        <v>24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L3" s="11" t="s">
        <v>21</v>
      </c>
      <c r="M3" s="11" t="s">
        <v>48</v>
      </c>
    </row>
    <row r="4" spans="1:13" ht="15">
      <c r="A4" s="8" t="s">
        <v>49</v>
      </c>
      <c r="B4" s="8" t="s">
        <v>50</v>
      </c>
      <c r="C4" s="8" t="s">
        <v>30</v>
      </c>
      <c r="D4" s="9">
        <v>0.4</v>
      </c>
      <c r="E4" s="8" t="s">
        <v>51</v>
      </c>
      <c r="F4" s="10">
        <v>1.0619999999999999E-2</v>
      </c>
      <c r="G4" s="13">
        <v>1.1299999999999999</v>
      </c>
      <c r="H4" s="13">
        <v>106.4</v>
      </c>
      <c r="I4" s="8" t="s">
        <v>52</v>
      </c>
      <c r="J4" s="66" t="s">
        <v>53</v>
      </c>
      <c r="L4" t="s">
        <v>50</v>
      </c>
      <c r="M4" s="6">
        <f>SUMIF($B$4:$B$21,L4,$D$4:$D$21)</f>
        <v>1</v>
      </c>
    </row>
    <row r="5" spans="1:13" ht="15">
      <c r="A5" s="8" t="s">
        <v>54</v>
      </c>
      <c r="B5" s="8" t="s">
        <v>50</v>
      </c>
      <c r="C5" s="8" t="s">
        <v>31</v>
      </c>
      <c r="D5" s="9">
        <v>0.3</v>
      </c>
      <c r="E5" s="8" t="s">
        <v>55</v>
      </c>
      <c r="F5" s="10">
        <v>7.9080000000000001E-3</v>
      </c>
      <c r="G5" s="13">
        <v>1.17</v>
      </c>
      <c r="H5" s="13">
        <v>147.94999999999999</v>
      </c>
      <c r="I5" s="8" t="s">
        <v>52</v>
      </c>
      <c r="J5" s="66" t="s">
        <v>56</v>
      </c>
      <c r="L5" t="s">
        <v>22</v>
      </c>
      <c r="M5" s="6">
        <f>SUMIF($B$4:$B$21,L5,$D$4:$D$21)</f>
        <v>1</v>
      </c>
    </row>
    <row r="6" spans="1:13" ht="15">
      <c r="A6" s="8" t="s">
        <v>57</v>
      </c>
      <c r="B6" s="8" t="s">
        <v>50</v>
      </c>
      <c r="C6" s="8" t="s">
        <v>32</v>
      </c>
      <c r="D6" s="9">
        <v>0.15</v>
      </c>
      <c r="E6" s="8" t="s">
        <v>58</v>
      </c>
      <c r="F6" s="10">
        <v>7.0060000000000001E-3</v>
      </c>
      <c r="G6" s="13">
        <v>1.1000000000000001</v>
      </c>
      <c r="H6" s="13">
        <v>157.01</v>
      </c>
      <c r="I6" s="8" t="s">
        <v>52</v>
      </c>
      <c r="J6" s="66" t="s">
        <v>59</v>
      </c>
      <c r="L6" t="s">
        <v>60</v>
      </c>
      <c r="M6" s="6">
        <f>SUMIF($B$4:$B$21,L6,$D$4:$D$21)</f>
        <v>1</v>
      </c>
    </row>
    <row r="7" spans="1:13" ht="15">
      <c r="A7" s="8" t="s">
        <v>61</v>
      </c>
      <c r="B7" s="8" t="s">
        <v>50</v>
      </c>
      <c r="C7" s="8" t="s">
        <v>33</v>
      </c>
      <c r="D7" s="9">
        <v>0.1</v>
      </c>
      <c r="E7" s="8" t="s">
        <v>62</v>
      </c>
      <c r="F7" s="10">
        <v>1.026E-2</v>
      </c>
      <c r="G7" s="13">
        <v>0.8</v>
      </c>
      <c r="H7" s="13">
        <v>77.97</v>
      </c>
      <c r="I7" s="8" t="s">
        <v>52</v>
      </c>
      <c r="J7" s="66" t="s">
        <v>63</v>
      </c>
    </row>
    <row r="8" spans="1:13" ht="15">
      <c r="A8" s="8" t="s">
        <v>64</v>
      </c>
      <c r="B8" s="8" t="s">
        <v>50</v>
      </c>
      <c r="C8" s="8" t="s">
        <v>34</v>
      </c>
      <c r="D8" s="9">
        <v>0</v>
      </c>
      <c r="E8" s="8" t="s">
        <v>65</v>
      </c>
      <c r="F8" s="10">
        <v>1.6018000000000001E-2</v>
      </c>
      <c r="G8" s="13">
        <v>0.7</v>
      </c>
      <c r="H8" s="13">
        <v>43.7</v>
      </c>
      <c r="I8" s="8" t="s">
        <v>52</v>
      </c>
      <c r="J8" s="66" t="s">
        <v>66</v>
      </c>
      <c r="L8" s="11" t="s">
        <v>21</v>
      </c>
      <c r="M8" s="11" t="s">
        <v>67</v>
      </c>
    </row>
    <row r="9" spans="1:13" ht="15">
      <c r="A9" s="8" t="s">
        <v>68</v>
      </c>
      <c r="B9" s="8" t="s">
        <v>50</v>
      </c>
      <c r="C9" s="8" t="s">
        <v>35</v>
      </c>
      <c r="D9" s="9">
        <v>0.05</v>
      </c>
      <c r="E9" s="8" t="s">
        <v>69</v>
      </c>
      <c r="F9" s="10">
        <v>8.7919999999999995E-3</v>
      </c>
      <c r="G9" s="13">
        <v>1.2</v>
      </c>
      <c r="H9" s="13">
        <v>136.47999999999999</v>
      </c>
      <c r="I9" s="8" t="s">
        <v>52</v>
      </c>
      <c r="J9" s="66" t="s">
        <v>70</v>
      </c>
      <c r="L9" t="s">
        <v>50</v>
      </c>
      <c r="M9" s="7">
        <f>SUMPRODUCT(($B$4:$B$21=L9)*$D$4:$D$21*$F$4:$F$21)</f>
        <v>9.1369000000000016E-3</v>
      </c>
    </row>
    <row r="10" spans="1:13" ht="15">
      <c r="A10" s="8" t="s">
        <v>71</v>
      </c>
      <c r="B10" s="8" t="s">
        <v>22</v>
      </c>
      <c r="C10" s="8" t="s">
        <v>30</v>
      </c>
      <c r="D10" s="9">
        <v>0.3</v>
      </c>
      <c r="E10" s="8" t="s">
        <v>51</v>
      </c>
      <c r="F10" s="10">
        <v>1.0619999999999999E-2</v>
      </c>
      <c r="G10" s="13">
        <v>1.1299999999999999</v>
      </c>
      <c r="H10" s="13">
        <v>106.4</v>
      </c>
      <c r="I10" s="8" t="s">
        <v>52</v>
      </c>
      <c r="J10" s="66" t="s">
        <v>53</v>
      </c>
      <c r="L10" t="s">
        <v>22</v>
      </c>
      <c r="M10" s="7">
        <f>SUMPRODUCT(($B$4:$B$21=L10)*$D$4:$D$21*$F$4:$F$21)</f>
        <v>9.3153999999999997E-3</v>
      </c>
    </row>
    <row r="11" spans="1:13" ht="15">
      <c r="A11" s="8" t="s">
        <v>72</v>
      </c>
      <c r="B11" s="8" t="s">
        <v>22</v>
      </c>
      <c r="C11" s="8" t="s">
        <v>31</v>
      </c>
      <c r="D11" s="9">
        <v>0.3</v>
      </c>
      <c r="E11" s="8" t="s">
        <v>55</v>
      </c>
      <c r="F11" s="10">
        <v>7.9080000000000001E-3</v>
      </c>
      <c r="G11" s="13">
        <v>1.17</v>
      </c>
      <c r="H11" s="13">
        <v>147.94999999999999</v>
      </c>
      <c r="I11" s="8" t="s">
        <v>52</v>
      </c>
      <c r="J11" s="66" t="s">
        <v>56</v>
      </c>
      <c r="L11" t="s">
        <v>60</v>
      </c>
      <c r="M11" s="7">
        <f>SUMPRODUCT(($B$4:$B$21=L11)*$D$4:$D$21*$F$4:$F$21)</f>
        <v>1.0304900000000001E-2</v>
      </c>
    </row>
    <row r="12" spans="1:13" ht="15">
      <c r="A12" s="8" t="s">
        <v>73</v>
      </c>
      <c r="B12" s="8" t="s">
        <v>22</v>
      </c>
      <c r="C12" s="8" t="s">
        <v>32</v>
      </c>
      <c r="D12" s="9">
        <v>0.15</v>
      </c>
      <c r="E12" s="8" t="s">
        <v>58</v>
      </c>
      <c r="F12" s="10">
        <v>7.0060000000000001E-3</v>
      </c>
      <c r="G12" s="13">
        <v>1.1000000000000001</v>
      </c>
      <c r="H12" s="13">
        <v>157.01</v>
      </c>
      <c r="I12" s="8" t="s">
        <v>52</v>
      </c>
      <c r="J12" s="66" t="s">
        <v>59</v>
      </c>
    </row>
    <row r="13" spans="1:13" ht="15">
      <c r="A13" s="8" t="s">
        <v>74</v>
      </c>
      <c r="B13" s="8" t="s">
        <v>22</v>
      </c>
      <c r="C13" s="8" t="s">
        <v>33</v>
      </c>
      <c r="D13" s="9">
        <v>0.1</v>
      </c>
      <c r="E13" s="8" t="s">
        <v>62</v>
      </c>
      <c r="F13" s="10">
        <v>1.026E-2</v>
      </c>
      <c r="G13" s="13">
        <v>0.8</v>
      </c>
      <c r="H13" s="13">
        <v>77.97</v>
      </c>
      <c r="I13" s="8" t="s">
        <v>52</v>
      </c>
      <c r="J13" s="66" t="s">
        <v>63</v>
      </c>
    </row>
    <row r="14" spans="1:13" ht="15">
      <c r="A14" s="8" t="s">
        <v>75</v>
      </c>
      <c r="B14" s="8" t="s">
        <v>22</v>
      </c>
      <c r="C14" s="8" t="s">
        <v>34</v>
      </c>
      <c r="D14" s="9">
        <v>0.05</v>
      </c>
      <c r="E14" s="8" t="s">
        <v>65</v>
      </c>
      <c r="F14" s="10">
        <v>1.6018000000000001E-2</v>
      </c>
      <c r="G14" s="13">
        <v>0.7</v>
      </c>
      <c r="H14" s="13">
        <v>43.7</v>
      </c>
      <c r="I14" s="8" t="s">
        <v>52</v>
      </c>
      <c r="J14" s="66" t="s">
        <v>66</v>
      </c>
    </row>
    <row r="15" spans="1:13" ht="15">
      <c r="A15" s="8" t="s">
        <v>76</v>
      </c>
      <c r="B15" s="8" t="s">
        <v>22</v>
      </c>
      <c r="C15" s="8" t="s">
        <v>35</v>
      </c>
      <c r="D15" s="9">
        <v>0.1</v>
      </c>
      <c r="E15" s="8" t="s">
        <v>69</v>
      </c>
      <c r="F15" s="10">
        <v>8.7919999999999995E-3</v>
      </c>
      <c r="G15" s="13">
        <v>1.2</v>
      </c>
      <c r="H15" s="13">
        <v>136.47999999999999</v>
      </c>
      <c r="I15" s="8" t="s">
        <v>52</v>
      </c>
      <c r="J15" s="66" t="s">
        <v>70</v>
      </c>
    </row>
    <row r="16" spans="1:13" ht="15">
      <c r="A16" s="8" t="s">
        <v>77</v>
      </c>
      <c r="B16" s="8" t="s">
        <v>60</v>
      </c>
      <c r="C16" s="8" t="s">
        <v>30</v>
      </c>
      <c r="D16" s="9">
        <v>0.2</v>
      </c>
      <c r="E16" s="8" t="s">
        <v>51</v>
      </c>
      <c r="F16" s="10">
        <v>1.0619999999999999E-2</v>
      </c>
      <c r="G16" s="13">
        <v>1.1299999999999999</v>
      </c>
      <c r="H16" s="13">
        <v>106.4</v>
      </c>
      <c r="I16" s="8" t="s">
        <v>52</v>
      </c>
      <c r="J16" s="66" t="s">
        <v>53</v>
      </c>
    </row>
    <row r="17" spans="1:10" ht="15">
      <c r="A17" s="8" t="s">
        <v>78</v>
      </c>
      <c r="B17" s="8" t="s">
        <v>60</v>
      </c>
      <c r="C17" s="8" t="s">
        <v>31</v>
      </c>
      <c r="D17" s="9">
        <v>0.2</v>
      </c>
      <c r="E17" s="8" t="s">
        <v>55</v>
      </c>
      <c r="F17" s="10">
        <v>7.9080000000000001E-3</v>
      </c>
      <c r="G17" s="13">
        <v>1.17</v>
      </c>
      <c r="H17" s="13">
        <v>147.94999999999999</v>
      </c>
      <c r="I17" s="8" t="s">
        <v>52</v>
      </c>
      <c r="J17" s="66" t="s">
        <v>56</v>
      </c>
    </row>
    <row r="18" spans="1:10" ht="15">
      <c r="A18" s="8" t="s">
        <v>79</v>
      </c>
      <c r="B18" s="8" t="s">
        <v>60</v>
      </c>
      <c r="C18" s="8" t="s">
        <v>32</v>
      </c>
      <c r="D18" s="9">
        <v>0.15</v>
      </c>
      <c r="E18" s="8" t="s">
        <v>58</v>
      </c>
      <c r="F18" s="10">
        <v>7.0060000000000001E-3</v>
      </c>
      <c r="G18" s="13">
        <v>1.1000000000000001</v>
      </c>
      <c r="H18" s="13">
        <v>157.01</v>
      </c>
      <c r="I18" s="8" t="s">
        <v>52</v>
      </c>
      <c r="J18" s="66" t="s">
        <v>59</v>
      </c>
    </row>
    <row r="19" spans="1:10" ht="15">
      <c r="A19" s="8" t="s">
        <v>80</v>
      </c>
      <c r="B19" s="8" t="s">
        <v>60</v>
      </c>
      <c r="C19" s="8" t="s">
        <v>33</v>
      </c>
      <c r="D19" s="9">
        <v>0.1</v>
      </c>
      <c r="E19" s="8" t="s">
        <v>62</v>
      </c>
      <c r="F19" s="10">
        <v>1.026E-2</v>
      </c>
      <c r="G19" s="13">
        <v>0.8</v>
      </c>
      <c r="H19" s="13">
        <v>77.97</v>
      </c>
      <c r="I19" s="8" t="s">
        <v>52</v>
      </c>
      <c r="J19" s="66" t="s">
        <v>63</v>
      </c>
    </row>
    <row r="20" spans="1:10" ht="15">
      <c r="A20" s="8" t="s">
        <v>81</v>
      </c>
      <c r="B20" s="8" t="s">
        <v>60</v>
      </c>
      <c r="C20" s="8" t="s">
        <v>34</v>
      </c>
      <c r="D20" s="9">
        <v>0.2</v>
      </c>
      <c r="E20" s="8" t="s">
        <v>65</v>
      </c>
      <c r="F20" s="10">
        <v>1.6018000000000001E-2</v>
      </c>
      <c r="G20" s="13">
        <v>0.7</v>
      </c>
      <c r="H20" s="13">
        <v>43.7</v>
      </c>
      <c r="I20" s="8" t="s">
        <v>52</v>
      </c>
      <c r="J20" s="66" t="s">
        <v>66</v>
      </c>
    </row>
    <row r="21" spans="1:10" ht="15">
      <c r="A21" s="8" t="s">
        <v>82</v>
      </c>
      <c r="B21" s="8" t="s">
        <v>60</v>
      </c>
      <c r="C21" s="8" t="s">
        <v>35</v>
      </c>
      <c r="D21" s="9">
        <v>0.15</v>
      </c>
      <c r="E21" s="8" t="s">
        <v>69</v>
      </c>
      <c r="F21" s="10">
        <v>8.7919999999999995E-3</v>
      </c>
      <c r="G21" s="13">
        <v>1.2</v>
      </c>
      <c r="H21" s="13">
        <v>136.47999999999999</v>
      </c>
      <c r="I21" s="8" t="s">
        <v>52</v>
      </c>
      <c r="J21" s="66" t="s">
        <v>70</v>
      </c>
    </row>
    <row r="23" spans="1:10">
      <c r="A23" s="15" t="s">
        <v>83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>
      <c r="A25" s="15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3">
    <mergeCell ref="A1:J1"/>
    <mergeCell ref="A2:J2"/>
    <mergeCell ref="A23:J25"/>
  </mergeCells>
  <hyperlinks>
    <hyperlink ref="J4" r:id="rId1" xr:uid="{A065CB12-F07C-2D4A-884B-A16342D4EDED}"/>
    <hyperlink ref="J5" r:id="rId2" xr:uid="{06A32146-3ED1-B349-8387-0FE47BE7DFB0}"/>
    <hyperlink ref="J6" r:id="rId3" xr:uid="{1CE3E399-0E03-9D44-92EE-60AC365D7A26}"/>
    <hyperlink ref="J7" r:id="rId4" xr:uid="{8A1D301E-C582-6A47-A520-2E0DDAE1E60C}"/>
    <hyperlink ref="J8" r:id="rId5" xr:uid="{C70237E6-8081-C541-9A04-934BDCAB5440}"/>
    <hyperlink ref="J9" r:id="rId6" xr:uid="{F9681811-5A1E-9949-A4D0-8796A0CDD575}"/>
    <hyperlink ref="J10" r:id="rId7" xr:uid="{42E045BF-A24A-C645-A057-CE9E9831DBC2}"/>
    <hyperlink ref="J11" r:id="rId8" xr:uid="{A951733D-69A6-A749-A8CB-7C2D5593E3F5}"/>
    <hyperlink ref="J12" r:id="rId9" xr:uid="{FCB59305-52F7-8147-8B9A-640A93DDD1DA}"/>
    <hyperlink ref="J13" r:id="rId10" xr:uid="{F3EA8583-2E15-4A42-82F8-109517CB2D6C}"/>
    <hyperlink ref="J14" r:id="rId11" xr:uid="{CE256061-3A73-C74D-8073-E25ACF2B1684}"/>
    <hyperlink ref="J15" r:id="rId12" xr:uid="{AFA7F87F-4A90-9C4D-8E61-2CBCF9F278C4}"/>
    <hyperlink ref="J16" r:id="rId13" xr:uid="{7685F01A-3E0F-E345-8544-1FA7A5FF8D73}"/>
    <hyperlink ref="J17" r:id="rId14" xr:uid="{4D3B6620-D1DB-1B47-86D9-268F5AADB7BF}"/>
    <hyperlink ref="J18" r:id="rId15" xr:uid="{A67C9E46-0F17-6241-8E38-5BB67AB0645A}"/>
    <hyperlink ref="J19" r:id="rId16" xr:uid="{1EB497C5-C0A4-204A-A3C3-DCB8657EF141}"/>
    <hyperlink ref="J20" r:id="rId17" xr:uid="{4352F8B6-B68B-1D4A-8FCC-A8C9C5F54091}"/>
    <hyperlink ref="J21" r:id="rId18" xr:uid="{6FEBAFD7-0066-1E49-9DAA-E8D0058A1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</vt:lpstr>
      <vt:lpstr>Planilha2</vt:lpstr>
      <vt:lpstr>aporte</vt:lpstr>
      <vt:lpstr>Despesas</vt:lpstr>
      <vt:lpstr>patrimonio</vt:lpstr>
      <vt:lpstr>perfil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Imaculada de Souza Saqueto</cp:lastModifiedBy>
  <dcterms:created xsi:type="dcterms:W3CDTF">2026-10-15T13:45:32Z</dcterms:created>
  <dcterms:modified xsi:type="dcterms:W3CDTF">2026-10-15T14:20:26Z</dcterms:modified>
</cp:coreProperties>
</file>